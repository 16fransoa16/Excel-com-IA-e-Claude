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77E0EB-48A0-47C0-A458-957D0CBDC524}" xr6:coauthVersionLast="47" xr6:coauthVersionMax="47" xr10:uidLastSave="{00000000-0000-0000-0000-000000000000}"/>
  <bookViews>
    <workbookView xWindow="-108" yWindow="-108" windowWidth="23256" windowHeight="12456" tabRatio="345" activeTab="1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<sst xmlns="http://schemas.openxmlformats.org/spreadsheetml/2006/main" count="72" uniqueCount="35">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</sst>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08-4D57-A449-C3AB2E8B6DD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08-4D57-A449-C3AB2E8B6DD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08-4D57-A449-C3AB2E8B6DD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08-4D57-A449-C3AB2E8B6DD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B08-4D57-A449-C3AB2E8B6DD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B08-4D57-A449-C3AB2E8B6D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1</xdr:row>
      <xdr:rowOff>2721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opLeftCell="A33" zoomScale="110" zoomScaleNormal="110" workbookViewId="0">
      <selection activeCell="F13" sqref="F13"/>
    </sheetView>
  </sheetViews>
  <sheetFormatPr defaultColWidth="0" defaultRowHeight="14.4" x14ac:dyDescent="0.3"/>
  <cols>
    <col min="1" max="1" width="5.44140625" customWidth="1"/>
    <col min="2" max="2" width="46.88671875" customWidth="1"/>
    <col min="3" max="3" width="17.44140625" bestFit="1" customWidth="1"/>
    <col min="4" max="4" width="15" customWidth="1"/>
    <col min="5" max="8" width="3.5546875" customWidth="1"/>
    <col min="9" max="16384" width="8.6640625" hidden="1"/>
  </cols>
  <sheetData>
    <row r="10" spans="2:4" ht="15" thickBot="1" x14ac:dyDescent="0.35"/>
    <row r="11" spans="2:4" ht="27" x14ac:dyDescent="0.4">
      <c r="B11" s="5" t="s">
        <v>0</v>
      </c>
      <c r="C11" s="6"/>
      <c r="D11" s="7"/>
    </row>
    <row r="12" spans="2:4" ht="19.2" x14ac:dyDescent="0.45">
      <c r="B12" s="43" t="s">
        <v>1</v>
      </c>
      <c r="C12" s="44"/>
      <c r="D12" s="23">
        <v>2000</v>
      </c>
    </row>
    <row r="13" spans="2:4" ht="19.2" x14ac:dyDescent="0.45">
      <c r="B13" s="45" t="s">
        <v>2</v>
      </c>
      <c r="C13" s="46"/>
      <c r="D13" s="24">
        <v>6.0000000000000001E-3</v>
      </c>
    </row>
    <row r="14" spans="2:4" ht="19.8" thickBot="1" x14ac:dyDescent="0.5">
      <c r="B14" s="47" t="s">
        <v>3</v>
      </c>
      <c r="C14" s="48"/>
      <c r="D14" s="25">
        <f>D12*30%</f>
        <v>600</v>
      </c>
    </row>
    <row r="15" spans="2:4" ht="15" thickBot="1" x14ac:dyDescent="0.35"/>
    <row r="16" spans="2:4" ht="28.5" customHeight="1" x14ac:dyDescent="0.3">
      <c r="B16" s="51" t="s">
        <v>4</v>
      </c>
      <c r="C16" s="52"/>
      <c r="D16" s="55"/>
    </row>
    <row r="17" spans="1:6" ht="19.2" x14ac:dyDescent="0.45">
      <c r="B17" s="43" t="s">
        <v>5</v>
      </c>
      <c r="C17" s="44"/>
      <c r="D17" s="18">
        <v>200</v>
      </c>
    </row>
    <row r="18" spans="1:6" ht="19.2" x14ac:dyDescent="0.45">
      <c r="B18" s="45" t="s">
        <v>6</v>
      </c>
      <c r="C18" s="46"/>
      <c r="D18" s="19">
        <v>5</v>
      </c>
    </row>
    <row r="19" spans="1:6" ht="19.2" x14ac:dyDescent="0.45">
      <c r="B19" s="45" t="s">
        <v>7</v>
      </c>
      <c r="C19" s="46"/>
      <c r="D19" s="20">
        <v>1.0789999999999999E-2</v>
      </c>
    </row>
    <row r="20" spans="1:6" ht="19.2" x14ac:dyDescent="0.45">
      <c r="B20" s="49" t="s">
        <v>8</v>
      </c>
      <c r="C20" s="50"/>
      <c r="D20" s="21">
        <f>FV(taxa_mensal,qtd_anos*12,aporte*-1)</f>
        <v>16755.382799697527</v>
      </c>
    </row>
    <row r="21" spans="1:6" ht="19.8" thickBot="1" x14ac:dyDescent="0.5">
      <c r="B21" s="53" t="s">
        <v>9</v>
      </c>
      <c r="C21" s="54"/>
      <c r="D21" s="22">
        <f>patrimonio*rendimento_carteira</f>
        <v>100.53229679818516</v>
      </c>
      <c r="F21" s="3"/>
    </row>
    <row r="22" spans="1:6" ht="15" thickBot="1" x14ac:dyDescent="0.35"/>
    <row r="23" spans="1:6" ht="29.4" x14ac:dyDescent="0.3">
      <c r="B23" s="51" t="s">
        <v>10</v>
      </c>
      <c r="C23" s="52"/>
      <c r="D23" s="8" t="s">
        <v>11</v>
      </c>
    </row>
    <row r="24" spans="1:6" ht="19.2" x14ac:dyDescent="0.45">
      <c r="A24" s="1">
        <v>2</v>
      </c>
      <c r="B24" s="9" t="s">
        <v>12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9.2" x14ac:dyDescent="0.45">
      <c r="A25" s="1">
        <v>5</v>
      </c>
      <c r="B25" s="12" t="s">
        <v>13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9.2" x14ac:dyDescent="0.45">
      <c r="A26" s="1">
        <v>10</v>
      </c>
      <c r="B26" s="12" t="s">
        <v>14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9.2" x14ac:dyDescent="0.45">
      <c r="A27" s="1">
        <v>20</v>
      </c>
      <c r="B27" s="12" t="s">
        <v>15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9.8" thickBot="1" x14ac:dyDescent="0.5">
      <c r="A28" s="1">
        <v>30</v>
      </c>
      <c r="B28" s="15" t="s">
        <v>16</v>
      </c>
      <c r="C28" s="16">
        <f>FV($D$19,$A28*12,$D$17*-1)</f>
        <v>864433.93100094295</v>
      </c>
      <c r="D28" s="17">
        <f>C28*rendimento_carteira</f>
        <v>5186.6035860056581</v>
      </c>
    </row>
    <row r="32" spans="1:6" x14ac:dyDescent="0.3">
      <c r="B32" s="26" t="s">
        <v>17</v>
      </c>
      <c r="C32" s="27" t="s">
        <v>18</v>
      </c>
      <c r="D32" s="26"/>
    </row>
    <row r="33" spans="2:4" x14ac:dyDescent="0.3">
      <c r="B33" s="28" t="s">
        <v>19</v>
      </c>
      <c r="C33" s="29">
        <f>aporte</f>
        <v>200</v>
      </c>
      <c r="D33" s="28"/>
    </row>
    <row r="35" spans="2:4" x14ac:dyDescent="0.3">
      <c r="B35" s="30" t="s">
        <v>20</v>
      </c>
      <c r="C35" s="30" t="s">
        <v>21</v>
      </c>
      <c r="D35" s="30" t="s">
        <v>22</v>
      </c>
    </row>
    <row r="36" spans="2:4" x14ac:dyDescent="0.3">
      <c r="B36" s="2" t="s">
        <v>23</v>
      </c>
      <c r="C36" s="4">
        <f>VLOOKUP($C$32&amp;"-"&amp;B36,Planilha2!$A:$D,4,FALSE)</f>
        <v>0.32</v>
      </c>
      <c r="D36" s="33">
        <f>C36*$C$33</f>
        <v>64</v>
      </c>
    </row>
    <row r="37" spans="2:4" x14ac:dyDescent="0.3">
      <c r="B37" s="2" t="s">
        <v>24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 x14ac:dyDescent="0.3">
      <c r="B38" s="2" t="s">
        <v>25</v>
      </c>
      <c r="C38" s="4">
        <f>VLOOKUP($C$32&amp;"-"&amp;B38,Planilha2!$A:$D,4,FALSE)</f>
        <v>0.08</v>
      </c>
      <c r="D38" s="33">
        <f t="shared" si="0"/>
        <v>16</v>
      </c>
    </row>
    <row r="39" spans="2:4" x14ac:dyDescent="0.3">
      <c r="B39" s="2" t="s">
        <v>26</v>
      </c>
      <c r="C39" s="4">
        <f>VLOOKUP($C$32&amp;"-"&amp;B39,Planilha2!$A:$D,4,FALSE)</f>
        <v>0.05</v>
      </c>
      <c r="D39" s="33">
        <f t="shared" si="0"/>
        <v>10</v>
      </c>
    </row>
    <row r="40" spans="2:4" x14ac:dyDescent="0.3">
      <c r="B40" s="2" t="s">
        <v>27</v>
      </c>
      <c r="C40" s="4">
        <f>VLOOKUP($C$32&amp;"-"&amp;B40,Planilha2!$A:$D,4,FALSE)</f>
        <v>0.1</v>
      </c>
      <c r="D40" s="33">
        <f t="shared" si="0"/>
        <v>20</v>
      </c>
    </row>
    <row r="41" spans="2:4" x14ac:dyDescent="0.3">
      <c r="B41" s="2" t="s">
        <v>28</v>
      </c>
      <c r="C41" s="4">
        <f>VLOOKUP($C$32&amp;"-"&amp;B41,Planilha2!$A:$D,4,FALSE)</f>
        <v>0.1</v>
      </c>
      <c r="D41" s="33">
        <f t="shared" si="0"/>
        <v>20</v>
      </c>
    </row>
    <row r="42" spans="2:4" x14ac:dyDescent="0.3">
      <c r="B42" s="31"/>
      <c r="C42" s="31"/>
      <c r="D42" s="32">
        <f>SUM(D36:D41)</f>
        <v>200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2"/>
  <sheetViews>
    <sheetView showGridLines="0" tabSelected="1" zoomScale="115" zoomScaleNormal="115" workbookViewId="0">
      <selection activeCell="I21" sqref="I21"/>
    </sheetView>
  </sheetViews>
  <sheetFormatPr defaultRowHeight="14.4" x14ac:dyDescent="0.3"/>
  <cols>
    <col min="1" max="1" width="29.109375" bestFit="1" customWidth="1"/>
    <col min="2" max="2" width="11.5546875" bestFit="1" customWidth="1"/>
    <col min="3" max="3" width="17.6640625" bestFit="1" customWidth="1"/>
    <col min="7" max="7" width="15.44140625" bestFit="1" customWidth="1"/>
  </cols>
  <sheetData>
    <row r="2" spans="1:8" x14ac:dyDescent="0.3">
      <c r="A2" s="41" t="s">
        <v>29</v>
      </c>
      <c r="B2" s="41" t="s">
        <v>17</v>
      </c>
      <c r="C2" s="42" t="s">
        <v>20</v>
      </c>
      <c r="D2" s="42" t="s">
        <v>30</v>
      </c>
    </row>
    <row r="3" spans="1:8" x14ac:dyDescent="0.3">
      <c r="A3" t="str">
        <f>B3&amp;"-"&amp;C3</f>
        <v>Conservador-PAPEL</v>
      </c>
      <c r="B3" t="s">
        <v>31</v>
      </c>
      <c r="C3" s="2" t="s">
        <v>23</v>
      </c>
      <c r="D3" s="4">
        <v>0.3</v>
      </c>
      <c r="H3" t="s">
        <v>30</v>
      </c>
    </row>
    <row r="4" spans="1:8" x14ac:dyDescent="0.3">
      <c r="A4" t="str">
        <f t="shared" ref="A4:A20" si="0">B4&amp;"-"&amp;C4</f>
        <v>Conservador-TIJOLO</v>
      </c>
      <c r="B4" t="s">
        <v>31</v>
      </c>
      <c r="C4" s="2" t="s">
        <v>24</v>
      </c>
      <c r="D4" s="4">
        <v>0.5</v>
      </c>
      <c r="G4" s="26" t="s">
        <v>32</v>
      </c>
      <c r="H4" s="40">
        <f>VLOOKUP(G4,$A:$D,4,FALSE)</f>
        <v>0.35</v>
      </c>
    </row>
    <row r="5" spans="1:8" x14ac:dyDescent="0.3">
      <c r="A5" t="str">
        <f t="shared" si="0"/>
        <v>Conservador-HÍBRIDOS</v>
      </c>
      <c r="B5" t="s">
        <v>31</v>
      </c>
      <c r="C5" s="2" t="s">
        <v>25</v>
      </c>
      <c r="D5" s="4">
        <v>0.1</v>
      </c>
    </row>
    <row r="6" spans="1:8" x14ac:dyDescent="0.3">
      <c r="A6" t="str">
        <f t="shared" si="0"/>
        <v>Conservador-FOFs</v>
      </c>
      <c r="B6" t="s">
        <v>31</v>
      </c>
      <c r="C6" s="2" t="s">
        <v>26</v>
      </c>
      <c r="D6" s="4">
        <v>0.1</v>
      </c>
    </row>
    <row r="7" spans="1:8" x14ac:dyDescent="0.3">
      <c r="A7" t="str">
        <f t="shared" si="0"/>
        <v>Conservador-DESENVOLVIMENTO</v>
      </c>
      <c r="B7" t="s">
        <v>31</v>
      </c>
      <c r="C7" s="2" t="s">
        <v>27</v>
      </c>
      <c r="D7" s="4">
        <v>0</v>
      </c>
    </row>
    <row r="8" spans="1:8" ht="15" thickBot="1" x14ac:dyDescent="0.35">
      <c r="A8" s="34" t="str">
        <f t="shared" si="0"/>
        <v>Conservador-HOTELARIAS</v>
      </c>
      <c r="B8" s="34" t="s">
        <v>31</v>
      </c>
      <c r="C8" s="35" t="s">
        <v>28</v>
      </c>
      <c r="D8" s="36">
        <v>0</v>
      </c>
    </row>
    <row r="9" spans="1:8" x14ac:dyDescent="0.3">
      <c r="A9" t="str">
        <f t="shared" si="0"/>
        <v>Moderado-PAPEL</v>
      </c>
      <c r="B9" t="s">
        <v>18</v>
      </c>
      <c r="C9" s="2" t="s">
        <v>23</v>
      </c>
      <c r="D9" s="4">
        <v>0.32</v>
      </c>
    </row>
    <row r="10" spans="1:8" x14ac:dyDescent="0.3">
      <c r="A10" s="37" t="str">
        <f t="shared" si="0"/>
        <v>Moderado-TIJOLO</v>
      </c>
      <c r="B10" s="37" t="s">
        <v>18</v>
      </c>
      <c r="C10" s="38" t="s">
        <v>24</v>
      </c>
      <c r="D10" s="39">
        <v>0.35</v>
      </c>
    </row>
    <row r="11" spans="1:8" x14ac:dyDescent="0.3">
      <c r="A11" t="str">
        <f t="shared" si="0"/>
        <v>Moderado-HÍBRIDOS</v>
      </c>
      <c r="B11" t="s">
        <v>18</v>
      </c>
      <c r="C11" s="2" t="s">
        <v>25</v>
      </c>
      <c r="D11" s="4">
        <v>0.08</v>
      </c>
    </row>
    <row r="12" spans="1:8" x14ac:dyDescent="0.3">
      <c r="A12" t="str">
        <f t="shared" si="0"/>
        <v>Moderado-FOFs</v>
      </c>
      <c r="B12" t="s">
        <v>18</v>
      </c>
      <c r="C12" s="2" t="s">
        <v>26</v>
      </c>
      <c r="D12" s="4">
        <v>0.05</v>
      </c>
    </row>
    <row r="13" spans="1:8" x14ac:dyDescent="0.3">
      <c r="A13" t="str">
        <f t="shared" si="0"/>
        <v>Moderado-DESENVOLVIMENTO</v>
      </c>
      <c r="B13" t="s">
        <v>18</v>
      </c>
      <c r="C13" s="2" t="s">
        <v>27</v>
      </c>
      <c r="D13" s="4">
        <v>0.1</v>
      </c>
    </row>
    <row r="14" spans="1:8" ht="15" thickBot="1" x14ac:dyDescent="0.35">
      <c r="A14" s="34" t="str">
        <f t="shared" si="0"/>
        <v>Moderado-HOTELARIAS</v>
      </c>
      <c r="B14" s="34" t="s">
        <v>18</v>
      </c>
      <c r="C14" s="35" t="s">
        <v>28</v>
      </c>
      <c r="D14" s="36">
        <v>0.1</v>
      </c>
    </row>
    <row r="15" spans="1:8" x14ac:dyDescent="0.3">
      <c r="A15" t="str">
        <f t="shared" si="0"/>
        <v>Agressivo-PAPEL</v>
      </c>
      <c r="B15" t="s">
        <v>33</v>
      </c>
      <c r="C15" s="2" t="s">
        <v>23</v>
      </c>
      <c r="D15" s="4">
        <v>0.5</v>
      </c>
    </row>
    <row r="16" spans="1:8" x14ac:dyDescent="0.3">
      <c r="A16" t="str">
        <f t="shared" si="0"/>
        <v>Agressivo-TIJOLO</v>
      </c>
      <c r="B16" t="s">
        <v>33</v>
      </c>
      <c r="C16" s="2" t="s">
        <v>24</v>
      </c>
      <c r="D16" s="4">
        <v>0.1</v>
      </c>
    </row>
    <row r="17" spans="1:4" x14ac:dyDescent="0.3">
      <c r="A17" t="str">
        <f t="shared" si="0"/>
        <v>Agressivo-HÍBRIDOS</v>
      </c>
      <c r="B17" t="s">
        <v>33</v>
      </c>
      <c r="C17" s="2" t="s">
        <v>25</v>
      </c>
      <c r="D17" s="4">
        <v>0.05</v>
      </c>
    </row>
    <row r="18" spans="1:4" x14ac:dyDescent="0.3">
      <c r="A18" t="str">
        <f t="shared" si="0"/>
        <v>Agressivo-FOFs</v>
      </c>
      <c r="B18" t="s">
        <v>33</v>
      </c>
      <c r="C18" s="2" t="s">
        <v>26</v>
      </c>
      <c r="D18" s="4">
        <v>0.05</v>
      </c>
    </row>
    <row r="19" spans="1:4" x14ac:dyDescent="0.3">
      <c r="A19" t="str">
        <f t="shared" si="0"/>
        <v>Agressivo-DESENVOLVIMENTO</v>
      </c>
      <c r="B19" t="s">
        <v>33</v>
      </c>
      <c r="C19" s="2" t="s">
        <v>27</v>
      </c>
      <c r="D19" s="4">
        <v>0.2</v>
      </c>
    </row>
    <row r="20" spans="1:4" x14ac:dyDescent="0.3">
      <c r="A20" t="str">
        <f t="shared" si="0"/>
        <v>Agressivo-HOTELARIAS</v>
      </c>
      <c r="B20" t="s">
        <v>33</v>
      </c>
      <c r="C20" s="2" t="s">
        <v>28</v>
      </c>
      <c r="D20" s="4">
        <v>0.1</v>
      </c>
    </row>
    <row r="21" spans="1:4" x14ac:dyDescent="0.3">
      <c r="D21" s="2"/>
    </row>
    <row r="22" spans="1:4" x14ac:dyDescent="0.3">
      <c r="D22" s="1" t="s">
        <v>34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D0D6DD-E6DB-45C8-8F90-E314C090C085}">
  <ds:schemaRefs>
    <ds:schemaRef ds:uri="http://schemas.microsoft.com/office/2006/documentManagement/types"/>
    <ds:schemaRef ds:uri="851b35d3-0456-4d6a-bc2f-da927e91d158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19483571-f922-4e8e-9c1c-26f0a225213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François Carlos</dc:creator>
  <cp:keywords/>
  <dc:description/>
  <cp:lastModifiedBy>François Carlos</cp:lastModifiedBy>
  <cp:revision/>
  <dcterms:created xsi:type="dcterms:W3CDTF">2025-04-16T18:38:03Z</dcterms:created>
  <dcterms:modified xsi:type="dcterms:W3CDTF">2026-10-18T02:45:50Z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