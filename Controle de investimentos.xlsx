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A015596-3343-44C3-81D6-EAFECF69E608}" xr6:coauthVersionLast="47" xr6:coauthVersionMax="47" xr10:uidLastSave="{00000000-0000-0000-0000-000000000000}"/>
  <bookViews>
    <workbookView xWindow="-108" yWindow="-108" windowWidth="23256" windowHeight="12456" tabRatio="0" xr2:uid="{950BD180-57CF-4E65-AA75-C109A3FA086B}"/>
  </bookViews>
  <sheets>
    <sheet name="Controle_de_Investimentos" sheetId="1" r:id="rId1"/>
    <sheet name="Planilha2" sheetId="2" r:id="rId2"/>
  </sheets>
  <definedNames>
    <definedName name="Aporte">Controle_de_Investimentos!$D$13</definedName>
    <definedName name="Patrimonio_Acumulado">Controle_de_Investimentos!$D$16</definedName>
    <definedName name="Qtd_Anos">Controle_de_Investimentos!$D$14</definedName>
    <definedName name="Rendimento_Carteira">Controle_de_Investimentos!$D$9</definedName>
    <definedName name="Salario">Controle_de_Investimentos!$D$8</definedName>
    <definedName name="Sejestao_Investimento">Controle_de_Investimentos!$D$10</definedName>
    <definedName name="Taxa_Mensal">Controle_de_Investimentos!$D$15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I4" i="2" s="1"/>
  <c r="A10" i="2"/>
  <c r="A11" i="2"/>
  <c r="A12" i="2"/>
  <c r="A13" i="2"/>
  <c r="A14" i="2"/>
  <c r="A15" i="2"/>
  <c r="A16" i="2"/>
  <c r="A17" i="2"/>
  <c r="A18" i="2"/>
  <c r="A19" i="2"/>
  <c r="D10" i="1"/>
  <c r="D13" i="1"/>
  <c r="K14" i="1"/>
  <c r="D16" i="1"/>
  <c r="D17" i="1"/>
  <c r="C20" i="1"/>
  <c r="D20" i="1"/>
  <c r="C21" i="1"/>
  <c r="D21" i="1"/>
  <c r="C22" i="1"/>
  <c r="D22" i="1"/>
  <c r="C23" i="1"/>
  <c r="D23" i="1"/>
  <c r="C24" i="1"/>
  <c r="D24" i="1"/>
  <c r="C30" i="1"/>
  <c r="C33" i="1"/>
  <c r="D33" i="1"/>
  <c r="C34" i="1"/>
  <c r="D34" i="1"/>
  <c r="C35" i="1"/>
  <c r="D35" i="1"/>
  <c r="C36" i="1"/>
  <c r="D36" i="1"/>
  <c r="C37" i="1"/>
  <c r="D37" i="1"/>
  <c r="C38" i="1"/>
  <c r="D38" i="1"/>
  <c r="D39" i="1"/>
</calcChain>
</file>

<file path=xl/sharedStrings.xml><?xml version="1.0" encoding="utf-8"?>
<sst xmlns="http://schemas.openxmlformats.org/spreadsheetml/2006/main" count="72" uniqueCount="36">
  <si>
    <t>HOTELARIAS</t>
  </si>
  <si>
    <t>DESENVOLVIMENTO</t>
  </si>
  <si>
    <t>FOFs</t>
  </si>
  <si>
    <t>HIBRIDOS</t>
  </si>
  <si>
    <t>TIJOLO</t>
  </si>
  <si>
    <t>PAPEL</t>
  </si>
  <si>
    <t>Valores</t>
  </si>
  <si>
    <t>Percentual Sujerido</t>
  </si>
  <si>
    <t>Tipo de FII</t>
  </si>
  <si>
    <t>VALOR A SER INVESTIDO POR MÊS</t>
  </si>
  <si>
    <t>MODERADO</t>
  </si>
  <si>
    <t>PERFIL</t>
  </si>
  <si>
    <t>Quanto em 30 anos?</t>
  </si>
  <si>
    <t>Quanto em 20 anos?</t>
  </si>
  <si>
    <t>Quanto em 10 anos?</t>
  </si>
  <si>
    <t>Quanto em 5 anos?</t>
  </si>
  <si>
    <t>Quanto em 2 anos?</t>
  </si>
  <si>
    <t>Dividendos</t>
  </si>
  <si>
    <t>Cenários</t>
  </si>
  <si>
    <t>Quanto vai receber de dividendos por mês?</t>
  </si>
  <si>
    <t>Quanto de patrimônio vai acumular?</t>
  </si>
  <si>
    <t>Qual a taxa de rendimento mensal?</t>
  </si>
  <si>
    <t>Por quantos anos?</t>
  </si>
  <si>
    <t>Quanto investir por mês?</t>
  </si>
  <si>
    <t>INVESTIMENTO MENSAL</t>
  </si>
  <si>
    <t>Sujestão de Investimento (30%)</t>
  </si>
  <si>
    <t>Rendimento Carteira:</t>
  </si>
  <si>
    <t>Salário:</t>
  </si>
  <si>
    <t>Configurações</t>
  </si>
  <si>
    <t>Investimentos</t>
  </si>
  <si>
    <t>AGRESSIVO</t>
  </si>
  <si>
    <t>CONSERVADOR</t>
  </si>
  <si>
    <t>MODERADO-TIJOLO</t>
  </si>
  <si>
    <t>%</t>
  </si>
  <si>
    <t>Perfil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</si>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</sst>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0"/>
      <name val="Tahoma"/>
      <family val="2"/>
    </font>
    <font>
      <sz val="13"/>
      <color theme="1"/>
      <name val="Tahoma"/>
      <family val="2"/>
    </font>
    <font>
      <b/>
      <sz val="18"/>
      <color theme="0"/>
      <name val="Tahoma"/>
      <family val="2"/>
    </font>
    <font>
      <b/>
      <sz val="48"/>
      <color theme="0"/>
      <name val="Tahoma"/>
      <family val="2"/>
    </font>
    <font>
      <b/>
      <sz val="48"/>
      <color theme="9" tint="-0.499984740745262"/>
      <name val="Tahoma"/>
      <family val="2"/>
    </font>
    <font>
      <b/>
      <sz val="4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0" tint="-0.34998626667073579"/>
      </top>
      <bottom style="medium">
        <color theme="1" tint="0.499984740745262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theme="1"/>
      </top>
      <bottom style="thin">
        <color theme="0" tint="-0.34998626667073579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/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9" tint="0.39997558519241921"/>
      </bottom>
      <diagonal/>
    </border>
    <border>
      <left/>
      <right/>
      <top/>
      <bottom style="medium">
        <color theme="9" tint="0.39997558519241921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/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78">
    <xf numFmtId="0" fontId="0" fillId="0" borderId="0" xfId="0"/>
    <xf numFmtId="0" fontId="4" fillId="0" borderId="0" xfId="0" applyFont="1"/>
    <xf numFmtId="164" fontId="5" fillId="4" borderId="1" xfId="0" applyNumberFormat="1" applyFont="1" applyFill="1" applyBorder="1" applyAlignment="1">
      <alignment horizontal="left"/>
    </xf>
    <xf numFmtId="0" fontId="5" fillId="4" borderId="1" xfId="0" applyFont="1" applyFill="1" applyBorder="1"/>
    <xf numFmtId="164" fontId="5" fillId="0" borderId="1" xfId="0" applyNumberFormat="1" applyFont="1" applyBorder="1" applyAlignment="1">
      <alignment horizontal="left"/>
    </xf>
    <xf numFmtId="10" fontId="6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10" fontId="6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5" fillId="0" borderId="0" xfId="0" applyFont="1"/>
    <xf numFmtId="0" fontId="8" fillId="4" borderId="0" xfId="0" applyFont="1" applyFill="1"/>
    <xf numFmtId="164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5" fillId="3" borderId="0" xfId="3" applyFont="1"/>
    <xf numFmtId="0" fontId="5" fillId="3" borderId="0" xfId="3" applyFont="1" applyBorder="1" applyAlignment="1">
      <alignment horizontal="left"/>
    </xf>
    <xf numFmtId="164" fontId="3" fillId="4" borderId="6" xfId="0" applyNumberFormat="1" applyFont="1" applyFill="1" applyBorder="1" applyAlignment="1">
      <alignment horizontal="right" indent="1"/>
    </xf>
    <xf numFmtId="164" fontId="3" fillId="4" borderId="7" xfId="0" applyNumberFormat="1" applyFont="1" applyFill="1" applyBorder="1" applyAlignment="1">
      <alignment horizontal="right" indent="2"/>
    </xf>
    <xf numFmtId="0" fontId="9" fillId="4" borderId="8" xfId="0" applyFont="1" applyFill="1" applyBorder="1" applyAlignment="1">
      <alignment horizontal="left" indent="3"/>
    </xf>
    <xf numFmtId="164" fontId="3" fillId="4" borderId="9" xfId="0" applyNumberFormat="1" applyFont="1" applyFill="1" applyBorder="1" applyAlignment="1">
      <alignment horizontal="right" indent="1"/>
    </xf>
    <xf numFmtId="164" fontId="3" fillId="4" borderId="10" xfId="0" applyNumberFormat="1" applyFont="1" applyFill="1" applyBorder="1" applyAlignment="1">
      <alignment horizontal="right" indent="2"/>
    </xf>
    <xf numFmtId="0" fontId="9" fillId="4" borderId="11" xfId="0" applyFont="1" applyFill="1" applyBorder="1" applyAlignment="1">
      <alignment horizontal="left" indent="3"/>
    </xf>
    <xf numFmtId="0" fontId="2" fillId="0" borderId="0" xfId="0" applyFont="1"/>
    <xf numFmtId="164" fontId="3" fillId="4" borderId="12" xfId="0" applyNumberFormat="1" applyFont="1" applyFill="1" applyBorder="1" applyAlignment="1">
      <alignment horizontal="right" indent="1"/>
    </xf>
    <xf numFmtId="164" fontId="3" fillId="4" borderId="13" xfId="0" applyNumberFormat="1" applyFont="1" applyFill="1" applyBorder="1" applyAlignment="1">
      <alignment horizontal="right" indent="2"/>
    </xf>
    <xf numFmtId="0" fontId="9" fillId="4" borderId="14" xfId="0" applyFont="1" applyFill="1" applyBorder="1" applyAlignment="1">
      <alignment horizontal="left" indent="3"/>
    </xf>
    <xf numFmtId="0" fontId="10" fillId="5" borderId="15" xfId="0" applyFont="1" applyFill="1" applyBorder="1" applyAlignment="1">
      <alignment vertical="center"/>
    </xf>
    <xf numFmtId="0" fontId="10" fillId="5" borderId="16" xfId="0" applyFont="1" applyFill="1" applyBorder="1" applyAlignment="1">
      <alignment horizontal="left" vertical="center" indent="3"/>
    </xf>
    <xf numFmtId="0" fontId="10" fillId="5" borderId="17" xfId="0" applyFont="1" applyFill="1" applyBorder="1" applyAlignment="1">
      <alignment horizontal="left" vertical="center" indent="3"/>
    </xf>
    <xf numFmtId="8" fontId="3" fillId="4" borderId="6" xfId="0" applyNumberFormat="1" applyFont="1" applyFill="1" applyBorder="1" applyAlignment="1">
      <alignment horizontal="right"/>
    </xf>
    <xf numFmtId="0" fontId="9" fillId="4" borderId="7" xfId="0" applyFont="1" applyFill="1" applyBorder="1" applyAlignment="1">
      <alignment horizontal="left" indent="3"/>
    </xf>
    <xf numFmtId="0" fontId="9" fillId="4" borderId="8" xfId="0" applyFont="1" applyFill="1" applyBorder="1" applyAlignment="1">
      <alignment horizontal="left" indent="3"/>
    </xf>
    <xf numFmtId="8" fontId="3" fillId="4" borderId="9" xfId="0" applyNumberFormat="1" applyFont="1" applyFill="1" applyBorder="1" applyAlignment="1">
      <alignment horizontal="right"/>
    </xf>
    <xf numFmtId="0" fontId="9" fillId="4" borderId="10" xfId="0" applyFont="1" applyFill="1" applyBorder="1" applyAlignment="1">
      <alignment horizontal="left" indent="3"/>
    </xf>
    <xf numFmtId="0" fontId="9" fillId="4" borderId="11" xfId="0" applyFont="1" applyFill="1" applyBorder="1" applyAlignment="1">
      <alignment horizontal="left" indent="3"/>
    </xf>
    <xf numFmtId="10" fontId="3" fillId="0" borderId="9" xfId="1" applyNumberFormat="1" applyFont="1" applyBorder="1" applyAlignment="1">
      <alignment horizontal="right"/>
    </xf>
    <xf numFmtId="0" fontId="9" fillId="0" borderId="10" xfId="0" applyFont="1" applyBorder="1" applyAlignment="1">
      <alignment horizontal="left" indent="3"/>
    </xf>
    <xf numFmtId="0" fontId="9" fillId="0" borderId="11" xfId="0" applyFont="1" applyBorder="1" applyAlignment="1">
      <alignment horizontal="left" indent="3"/>
    </xf>
    <xf numFmtId="0" fontId="3" fillId="0" borderId="9" xfId="0" applyFont="1" applyBorder="1" applyAlignment="1">
      <alignment horizontal="right"/>
    </xf>
    <xf numFmtId="164" fontId="3" fillId="0" borderId="18" xfId="0" applyNumberFormat="1" applyFont="1" applyBorder="1" applyAlignment="1">
      <alignment horizontal="right"/>
    </xf>
    <xf numFmtId="0" fontId="9" fillId="0" borderId="19" xfId="0" applyFont="1" applyBorder="1" applyAlignment="1">
      <alignment horizontal="left" indent="3"/>
    </xf>
    <xf numFmtId="0" fontId="9" fillId="0" borderId="20" xfId="0" applyFont="1" applyBorder="1" applyAlignment="1">
      <alignment horizontal="left" indent="3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8" fontId="3" fillId="0" borderId="6" xfId="0" applyNumberFormat="1" applyFont="1" applyBorder="1" applyAlignment="1">
      <alignment horizontal="right"/>
    </xf>
    <xf numFmtId="0" fontId="9" fillId="0" borderId="7" xfId="0" applyFont="1" applyBorder="1" applyAlignment="1">
      <alignment horizontal="left" indent="3"/>
    </xf>
    <xf numFmtId="0" fontId="9" fillId="0" borderId="8" xfId="0" applyFont="1" applyBorder="1" applyAlignment="1">
      <alignment horizontal="left" indent="3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6" borderId="24" xfId="0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0" fontId="12" fillId="6" borderId="26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6" borderId="30" xfId="0" applyFont="1" applyFill="1" applyBorder="1" applyAlignment="1">
      <alignment horizontal="center" vertical="center"/>
    </xf>
    <xf numFmtId="0" fontId="12" fillId="6" borderId="31" xfId="0" applyFont="1" applyFill="1" applyBorder="1" applyAlignment="1">
      <alignment horizontal="center" vertical="center"/>
    </xf>
    <xf numFmtId="0" fontId="12" fillId="6" borderId="32" xfId="0" applyFont="1" applyFill="1" applyBorder="1" applyAlignment="1">
      <alignment horizontal="center" vertical="center"/>
    </xf>
    <xf numFmtId="9" fontId="5" fillId="0" borderId="33" xfId="0" applyNumberFormat="1" applyFont="1" applyBorder="1" applyAlignment="1">
      <alignment horizontal="left"/>
    </xf>
    <xf numFmtId="0" fontId="5" fillId="0" borderId="33" xfId="0" applyFont="1" applyBorder="1" applyAlignment="1">
      <alignment horizontal="left"/>
    </xf>
    <xf numFmtId="9" fontId="5" fillId="0" borderId="34" xfId="0" applyNumberFormat="1" applyFont="1" applyBorder="1" applyAlignment="1">
      <alignment horizontal="left"/>
    </xf>
    <xf numFmtId="0" fontId="5" fillId="0" borderId="34" xfId="0" applyFont="1" applyBorder="1" applyAlignment="1">
      <alignment horizontal="left"/>
    </xf>
    <xf numFmtId="9" fontId="5" fillId="0" borderId="35" xfId="0" applyNumberFormat="1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9" fontId="5" fillId="0" borderId="36" xfId="0" applyNumberFormat="1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37" xfId="0" applyFont="1" applyBorder="1"/>
    <xf numFmtId="0" fontId="0" fillId="0" borderId="37" xfId="0" applyBorder="1"/>
    <xf numFmtId="0" fontId="5" fillId="0" borderId="38" xfId="0" applyFont="1" applyBorder="1" applyAlignment="1">
      <alignment horizontal="left"/>
    </xf>
    <xf numFmtId="10" fontId="1" fillId="2" borderId="0" xfId="2" applyNumberFormat="1"/>
    <xf numFmtId="0" fontId="1" fillId="2" borderId="0" xfId="2"/>
    <xf numFmtId="0" fontId="7" fillId="4" borderId="39" xfId="0" applyFont="1" applyFill="1" applyBorder="1" applyAlignment="1">
      <alignment horizontal="center"/>
    </xf>
  </cellXfs>
  <cellStyles count="4">
    <cellStyle name="40% - Ênfase5" xfId="2" builtinId="47"/>
    <cellStyle name="40% - Ênfase6" xfId="3" builtinId="51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Controle_de_Investimentos!$C$32</c:f>
              <c:strCache>
                <c:ptCount val="1"/>
                <c:pt idx="0">
                  <c:v>Percentual Sujerido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A8-405A-BF7C-1C1D6B55AC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A8-405A-BF7C-1C1D6B55AC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A8-405A-BF7C-1C1D6B55ACC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BA8-405A-BF7C-1C1D6B55ACC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BA8-405A-BF7C-1C1D6B55ACC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BA8-405A-BF7C-1C1D6B55AC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Controle_de_Investimentos!$B$33:$B$38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Controle_de_Investimentos!$C$33:$C$38</c:f>
              <c:numCache>
                <c:formatCode>0.00%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A8-405A-BF7C-1C1D6B55ACC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>
      <a:noFill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72717</xdr:colOff>
      <xdr:row>0</xdr:row>
      <xdr:rowOff>11724</xdr:rowOff>
    </xdr:from>
    <xdr:ext cx="1230107" cy="906399"/>
    <xdr:pic>
      <xdr:nvPicPr>
        <xdr:cNvPr id="2" name="Imagem 2" descr="Leão">
          <a:extLst>
            <a:ext uri="{FF2B5EF4-FFF2-40B4-BE49-F238E27FC236}">
              <a16:creationId xmlns:a16="http://schemas.microsoft.com/office/drawing/2014/main" id="{9CED7525-B82F-4110-BBAB-3D567ABD8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84197" y="11724"/>
          <a:ext cx="1230107" cy="906399"/>
        </a:xfrm>
        <a:prstGeom prst="rect">
          <a:avLst/>
        </a:prstGeom>
      </xdr:spPr>
    </xdr:pic>
    <xdr:clientData/>
  </xdr:oneCellAnchor>
  <xdr:twoCellAnchor>
    <xdr:from>
      <xdr:col>0</xdr:col>
      <xdr:colOff>403860</xdr:colOff>
      <xdr:row>39</xdr:row>
      <xdr:rowOff>167640</xdr:rowOff>
    </xdr:from>
    <xdr:to>
      <xdr:col>4</xdr:col>
      <xdr:colOff>0</xdr:colOff>
      <xdr:row>53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9E5A73-4B75-4B8E-A85C-F6BDA2803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2E65-1A4F-4EC8-8487-9235888FECD6}">
  <dimension ref="A1:K39"/>
  <sheetViews>
    <sheetView showGridLines="0" tabSelected="1" topLeftCell="A30" zoomScaleNormal="100" workbookViewId="0">
      <selection activeCell="C29" sqref="C29"/>
    </sheetView>
  </sheetViews>
  <sheetFormatPr defaultColWidth="0" defaultRowHeight="14.4" x14ac:dyDescent="0.3"/>
  <cols>
    <col min="1" max="1" width="6" customWidth="1"/>
    <col min="2" max="2" width="48.77734375" bestFit="1" customWidth="1"/>
    <col min="3" max="3" width="36" customWidth="1"/>
    <col min="4" max="4" width="20.6640625" customWidth="1"/>
    <col min="5" max="5" width="6.109375" customWidth="1"/>
    <col min="6" max="6" width="19.44140625" hidden="1" customWidth="1"/>
    <col min="7" max="7" width="8.88671875" hidden="1" customWidth="1"/>
    <col min="8" max="11" width="8.88671875" style="1" hidden="1" customWidth="1"/>
    <col min="12" max="16383" width="8.88671875" style="1" hidden="1"/>
    <col min="16384" max="16384" width="8.88671875" style="1" hidden="1" customWidth="1"/>
  </cols>
  <sheetData>
    <row r="1" spans="1:11" ht="14.4" customHeight="1" x14ac:dyDescent="0.3">
      <c r="A1" s="1"/>
      <c r="B1" s="63" t="s">
        <v>29</v>
      </c>
      <c r="C1" s="62"/>
      <c r="D1" s="61"/>
      <c r="E1" s="52"/>
      <c r="F1" s="52"/>
      <c r="G1" s="52"/>
      <c r="H1" s="60"/>
      <c r="I1" s="51"/>
      <c r="J1" s="51"/>
    </row>
    <row r="2" spans="1:11" ht="14.4" customHeight="1" x14ac:dyDescent="0.3">
      <c r="A2" s="52"/>
      <c r="B2" s="58"/>
      <c r="C2" s="57"/>
      <c r="D2" s="56"/>
      <c r="E2" s="52"/>
      <c r="F2" s="52"/>
      <c r="G2" s="52"/>
      <c r="H2" s="51"/>
      <c r="I2" s="51"/>
      <c r="J2" s="51"/>
    </row>
    <row r="3" spans="1:11" ht="14.4" customHeight="1" x14ac:dyDescent="0.3">
      <c r="A3" s="52"/>
      <c r="B3" s="58"/>
      <c r="C3" s="57"/>
      <c r="D3" s="56"/>
      <c r="E3" s="52"/>
      <c r="F3" s="59"/>
      <c r="G3" s="52"/>
      <c r="H3" s="51"/>
      <c r="I3" s="51"/>
      <c r="J3" s="51"/>
    </row>
    <row r="4" spans="1:11" ht="14.4" customHeight="1" x14ac:dyDescent="0.3">
      <c r="A4" s="52"/>
      <c r="B4" s="58"/>
      <c r="C4" s="57"/>
      <c r="D4" s="56"/>
      <c r="E4" s="52"/>
      <c r="F4" s="52"/>
      <c r="G4" s="52"/>
      <c r="H4" s="51"/>
      <c r="I4" s="51"/>
      <c r="J4" s="51"/>
    </row>
    <row r="5" spans="1:11" ht="14.4" customHeight="1" thickBot="1" x14ac:dyDescent="0.35">
      <c r="A5" s="52"/>
      <c r="B5" s="55"/>
      <c r="C5" s="54"/>
      <c r="D5" s="53"/>
      <c r="E5" s="52"/>
      <c r="F5" s="52"/>
      <c r="G5" s="52"/>
      <c r="H5" s="51"/>
      <c r="I5" s="51"/>
      <c r="J5" s="51"/>
    </row>
    <row r="6" spans="1:11" ht="15" thickBot="1" x14ac:dyDescent="0.35"/>
    <row r="7" spans="1:11" ht="22.8" thickBot="1" x14ac:dyDescent="0.35">
      <c r="B7" s="47" t="s">
        <v>28</v>
      </c>
      <c r="C7" s="46"/>
      <c r="D7" s="45"/>
    </row>
    <row r="8" spans="1:11" ht="16.8" x14ac:dyDescent="0.3">
      <c r="B8" s="44" t="s">
        <v>27</v>
      </c>
      <c r="C8" s="43"/>
      <c r="D8" s="42">
        <v>3500</v>
      </c>
    </row>
    <row r="9" spans="1:11" ht="16.8" x14ac:dyDescent="0.3">
      <c r="B9" s="40" t="s">
        <v>26</v>
      </c>
      <c r="C9" s="39"/>
      <c r="D9" s="38">
        <v>6.0000000000000001E-3</v>
      </c>
    </row>
    <row r="10" spans="1:11" ht="17.399999999999999" thickBot="1" x14ac:dyDescent="0.35">
      <c r="B10" s="50" t="s">
        <v>25</v>
      </c>
      <c r="C10" s="49"/>
      <c r="D10" s="48">
        <f>$D$8*30%</f>
        <v>1050</v>
      </c>
    </row>
    <row r="11" spans="1:11" ht="15" thickBot="1" x14ac:dyDescent="0.35"/>
    <row r="12" spans="1:11" ht="22.8" thickBot="1" x14ac:dyDescent="0.35">
      <c r="B12" s="47" t="s">
        <v>24</v>
      </c>
      <c r="C12" s="46"/>
      <c r="D12" s="45"/>
    </row>
    <row r="13" spans="1:11" ht="16.8" x14ac:dyDescent="0.3">
      <c r="B13" s="44" t="s">
        <v>23</v>
      </c>
      <c r="C13" s="43"/>
      <c r="D13" s="42">
        <f>Sejestao_Investimento</f>
        <v>1050</v>
      </c>
    </row>
    <row r="14" spans="1:11" ht="16.8" x14ac:dyDescent="0.3">
      <c r="B14" s="40" t="s">
        <v>22</v>
      </c>
      <c r="C14" s="39"/>
      <c r="D14" s="41">
        <v>5</v>
      </c>
      <c r="K14" s="1" t="e">
        <f>kk</f>
        <v>#NAME?</v>
      </c>
    </row>
    <row r="15" spans="1:11" ht="16.8" x14ac:dyDescent="0.3">
      <c r="B15" s="40" t="s">
        <v>21</v>
      </c>
      <c r="C15" s="39"/>
      <c r="D15" s="38">
        <v>1.0789999999999999E-2</v>
      </c>
    </row>
    <row r="16" spans="1:11" ht="16.8" x14ac:dyDescent="0.3">
      <c r="B16" s="37" t="s">
        <v>20</v>
      </c>
      <c r="C16" s="36"/>
      <c r="D16" s="35">
        <f>FV(Taxa_Mensal,Qtd_Anos*12,Aporte*-1)</f>
        <v>87965.759698412032</v>
      </c>
    </row>
    <row r="17" spans="1:8" ht="17.399999999999999" thickBot="1" x14ac:dyDescent="0.35">
      <c r="B17" s="34" t="s">
        <v>19</v>
      </c>
      <c r="C17" s="33"/>
      <c r="D17" s="32">
        <f>Patrimonio_Acumulado*Taxa_Mensal</f>
        <v>949.15054714586574</v>
      </c>
    </row>
    <row r="18" spans="1:8" ht="15" thickBot="1" x14ac:dyDescent="0.35">
      <c r="B18" s="1"/>
      <c r="C18" s="1"/>
      <c r="E18" s="1"/>
      <c r="F18" s="1"/>
    </row>
    <row r="19" spans="1:8" ht="24" customHeight="1" thickBot="1" x14ac:dyDescent="0.35">
      <c r="B19" s="31" t="s">
        <v>18</v>
      </c>
      <c r="C19" s="30"/>
      <c r="D19" s="29" t="s">
        <v>17</v>
      </c>
      <c r="E19" s="1"/>
      <c r="F19" s="1"/>
    </row>
    <row r="20" spans="1:8" ht="16.8" x14ac:dyDescent="0.3">
      <c r="B20" s="28" t="s">
        <v>16</v>
      </c>
      <c r="C20" s="27">
        <f>FV($D$15,$A26*12,$D$13*-1)</f>
        <v>28589.008662527478</v>
      </c>
      <c r="D20" s="26">
        <f>C20*Rendimento_Carteira</f>
        <v>171.53405197516489</v>
      </c>
      <c r="E20" s="1"/>
      <c r="F20" s="1"/>
    </row>
    <row r="21" spans="1:8" ht="16.8" x14ac:dyDescent="0.3">
      <c r="B21" s="24" t="s">
        <v>15</v>
      </c>
      <c r="C21" s="23">
        <f>FV($D$15,$A27*12,$D$13*-1)</f>
        <v>87965.759698412032</v>
      </c>
      <c r="D21" s="22">
        <f>C21*Rendimento_Carteira</f>
        <v>527.79455819047223</v>
      </c>
    </row>
    <row r="22" spans="1:8" ht="16.8" x14ac:dyDescent="0.3">
      <c r="B22" s="24" t="s">
        <v>14</v>
      </c>
      <c r="C22" s="23">
        <f>FV($D$15,$A28*12,$D$13*-1)</f>
        <v>255448.4231566808</v>
      </c>
      <c r="D22" s="22">
        <f>C22*Rendimento_Carteira</f>
        <v>1532.6905389400849</v>
      </c>
      <c r="H22" s="25"/>
    </row>
    <row r="23" spans="1:8" ht="16.8" x14ac:dyDescent="0.3">
      <c r="B23" s="24" t="s">
        <v>13</v>
      </c>
      <c r="C23" s="23">
        <f>FV($D$15,$A29*12,$D$13*-1)</f>
        <v>1181458.3201019347</v>
      </c>
      <c r="D23" s="22">
        <f>C23*Rendimento_Carteira</f>
        <v>7088.7499206116081</v>
      </c>
    </row>
    <row r="24" spans="1:8" ht="17.399999999999999" thickBot="1" x14ac:dyDescent="0.35">
      <c r="B24" s="21" t="s">
        <v>12</v>
      </c>
      <c r="C24" s="20">
        <f>FV($D$15,$A30*12,$D$13*-1)</f>
        <v>4538278.1377549507</v>
      </c>
      <c r="D24" s="19">
        <f>C24*Rendimento_Carteira</f>
        <v>27229.668826529705</v>
      </c>
    </row>
    <row r="25" spans="1:8" x14ac:dyDescent="0.3">
      <c r="B25" s="1"/>
      <c r="C25" s="1"/>
      <c r="D25" s="1"/>
    </row>
    <row r="26" spans="1:8" x14ac:dyDescent="0.3">
      <c r="A26" s="1">
        <v>2</v>
      </c>
      <c r="B26" s="1"/>
      <c r="C26" s="1"/>
      <c r="D26" s="1"/>
    </row>
    <row r="27" spans="1:8" x14ac:dyDescent="0.3">
      <c r="A27" s="1">
        <v>5</v>
      </c>
      <c r="B27" s="1"/>
      <c r="C27" s="1"/>
      <c r="D27" s="1"/>
    </row>
    <row r="28" spans="1:8" x14ac:dyDescent="0.3">
      <c r="A28" s="1">
        <v>10</v>
      </c>
      <c r="B28" s="1"/>
      <c r="C28" s="1"/>
      <c r="D28" s="1"/>
    </row>
    <row r="29" spans="1:8" x14ac:dyDescent="0.3">
      <c r="A29" s="1">
        <v>20</v>
      </c>
      <c r="B29" s="18" t="s">
        <v>11</v>
      </c>
      <c r="C29" s="17" t="s">
        <v>10</v>
      </c>
      <c r="D29" s="17"/>
    </row>
    <row r="30" spans="1:8" x14ac:dyDescent="0.3">
      <c r="A30" s="1">
        <v>30</v>
      </c>
      <c r="B30" s="16" t="s">
        <v>9</v>
      </c>
      <c r="C30" s="15">
        <f>Aporte</f>
        <v>1050</v>
      </c>
      <c r="D30" s="14"/>
    </row>
    <row r="31" spans="1:8" ht="15" thickBot="1" x14ac:dyDescent="0.35">
      <c r="B31" s="13"/>
      <c r="C31" s="13"/>
      <c r="D31" s="13"/>
    </row>
    <row r="32" spans="1:8" ht="15" thickBot="1" x14ac:dyDescent="0.35">
      <c r="B32" s="12" t="s">
        <v>8</v>
      </c>
      <c r="C32" s="11" t="s">
        <v>7</v>
      </c>
      <c r="D32" s="10" t="s">
        <v>6</v>
      </c>
    </row>
    <row r="33" spans="2:4" ht="15" thickBot="1" x14ac:dyDescent="0.35">
      <c r="B33" s="9" t="s">
        <v>5</v>
      </c>
      <c r="C33" s="8">
        <f>VLOOKUP($C$29&amp;"-"&amp;B33,Planilha2!$A$1:$D$19,4,FALSE)</f>
        <v>0.32</v>
      </c>
      <c r="D33" s="7">
        <f>Planilha2!D2*$C$30</f>
        <v>315</v>
      </c>
    </row>
    <row r="34" spans="2:4" ht="15" thickBot="1" x14ac:dyDescent="0.35">
      <c r="B34" s="6" t="s">
        <v>4</v>
      </c>
      <c r="C34" s="5">
        <f>VLOOKUP($C$29&amp;"-"&amp;B34,Planilha2!$A$1:$D$19,4,FALSE)</f>
        <v>0.4</v>
      </c>
      <c r="D34" s="4">
        <f>Planilha2!D3*$C$30</f>
        <v>525</v>
      </c>
    </row>
    <row r="35" spans="2:4" ht="15" thickBot="1" x14ac:dyDescent="0.35">
      <c r="B35" s="6" t="s">
        <v>3</v>
      </c>
      <c r="C35" s="5">
        <f>VLOOKUP($C$29&amp;"-"&amp;B35,Planilha2!$A$1:$D$19,4,FALSE)</f>
        <v>0.08</v>
      </c>
      <c r="D35" s="4">
        <f>Planilha2!D4*$C$30</f>
        <v>105</v>
      </c>
    </row>
    <row r="36" spans="2:4" ht="15" thickBot="1" x14ac:dyDescent="0.35">
      <c r="B36" s="6" t="s">
        <v>2</v>
      </c>
      <c r="C36" s="5">
        <f>VLOOKUP($C$29&amp;"-"&amp;B36,Planilha2!$A$1:$D$19,4,FALSE)</f>
        <v>0.1</v>
      </c>
      <c r="D36" s="4">
        <f>Planilha2!D5*$C$30</f>
        <v>105</v>
      </c>
    </row>
    <row r="37" spans="2:4" ht="15" thickBot="1" x14ac:dyDescent="0.35">
      <c r="B37" s="6" t="s">
        <v>1</v>
      </c>
      <c r="C37" s="5">
        <f>VLOOKUP($C$29&amp;"-"&amp;B37,Planilha2!$A$1:$D$19,4,FALSE)</f>
        <v>0</v>
      </c>
      <c r="D37" s="4">
        <f>Planilha2!D6*$C$30</f>
        <v>0</v>
      </c>
    </row>
    <row r="38" spans="2:4" ht="15" thickBot="1" x14ac:dyDescent="0.35">
      <c r="B38" s="6" t="s">
        <v>0</v>
      </c>
      <c r="C38" s="5">
        <f>VLOOKUP($C$29&amp;"-"&amp;B38,Planilha2!$A$1:$D$19,4,FALSE)</f>
        <v>0.1</v>
      </c>
      <c r="D38" s="4">
        <f>Planilha2!D7*$C$30</f>
        <v>0</v>
      </c>
    </row>
    <row r="39" spans="2:4" ht="15" thickBot="1" x14ac:dyDescent="0.35">
      <c r="B39" s="3"/>
      <c r="C39" s="3"/>
      <c r="D39" s="2">
        <f>SUBTOTAL(9,D33:D38)</f>
        <v>1050</v>
      </c>
    </row>
  </sheetData>
  <mergeCells count="12">
    <mergeCell ref="B19:C19"/>
    <mergeCell ref="B1:D5"/>
    <mergeCell ref="B7:D7"/>
    <mergeCell ref="B17:C17"/>
    <mergeCell ref="B8:C8"/>
    <mergeCell ref="B9:C9"/>
    <mergeCell ref="B10:C10"/>
    <mergeCell ref="B12:D12"/>
    <mergeCell ref="B13:C13"/>
    <mergeCell ref="B14:C14"/>
    <mergeCell ref="B15:C15"/>
    <mergeCell ref="B16:C16"/>
  </mergeCells>
  <dataValidations count="1">
    <dataValidation type="list" allowBlank="1" showInputMessage="1" showErrorMessage="1" sqref="C29" xr:uid="{862318DD-C165-401B-AF3F-73413DE2F8D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F6CE-3C0D-476D-A2F0-690EBF961AEF}">
  <dimension ref="A1:I19"/>
  <sheetViews>
    <sheetView workbookViewId="0">
      <selection activeCell="C29" sqref="C29"/>
    </sheetView>
  </sheetViews>
  <sheetFormatPr defaultRowHeight="14.4" x14ac:dyDescent="0.3"/>
  <cols>
    <col min="1" max="1" width="31.6640625" bestFit="1" customWidth="1"/>
    <col min="2" max="2" width="15" bestFit="1" customWidth="1"/>
    <col min="3" max="3" width="19.5546875" bestFit="1" customWidth="1"/>
    <col min="8" max="8" width="17.6640625" bestFit="1" customWidth="1"/>
  </cols>
  <sheetData>
    <row r="1" spans="1:9" ht="15" thickBot="1" x14ac:dyDescent="0.35">
      <c r="A1" s="77" t="s">
        <v>35</v>
      </c>
      <c r="B1" s="77" t="s">
        <v>34</v>
      </c>
      <c r="C1" s="77" t="s">
        <v>8</v>
      </c>
      <c r="D1" s="77" t="s">
        <v>33</v>
      </c>
    </row>
    <row r="2" spans="1:9" ht="15" thickBot="1" x14ac:dyDescent="0.35">
      <c r="A2" t="str">
        <f>B2&amp;"-"&amp;C2</f>
        <v>CONSERVADOR-PAPEL</v>
      </c>
      <c r="B2" s="69" t="s">
        <v>31</v>
      </c>
      <c r="C2" s="69" t="s">
        <v>5</v>
      </c>
      <c r="D2" s="68">
        <v>0.3</v>
      </c>
    </row>
    <row r="3" spans="1:9" ht="15" thickBot="1" x14ac:dyDescent="0.35">
      <c r="A3" t="str">
        <f>B3&amp;"-"&amp;C3</f>
        <v>CONSERVADOR-TIJOLO</v>
      </c>
      <c r="B3" s="67" t="s">
        <v>31</v>
      </c>
      <c r="C3" s="67" t="s">
        <v>4</v>
      </c>
      <c r="D3" s="66">
        <v>0.5</v>
      </c>
      <c r="I3" t="s">
        <v>33</v>
      </c>
    </row>
    <row r="4" spans="1:9" ht="15" thickBot="1" x14ac:dyDescent="0.35">
      <c r="A4" t="str">
        <f>B4&amp;"-"&amp;C4</f>
        <v>CONSERVADOR-HIBRIDOS</v>
      </c>
      <c r="B4" s="67" t="s">
        <v>31</v>
      </c>
      <c r="C4" s="67" t="s">
        <v>3</v>
      </c>
      <c r="D4" s="66">
        <v>0.1</v>
      </c>
      <c r="H4" s="76" t="s">
        <v>32</v>
      </c>
      <c r="I4" s="75">
        <f>VLOOKUP(A9,$A:$D,4,FALSE)</f>
        <v>0.4</v>
      </c>
    </row>
    <row r="5" spans="1:9" ht="15" thickBot="1" x14ac:dyDescent="0.35">
      <c r="A5" t="str">
        <f>B5&amp;"-"&amp;C5</f>
        <v>CONSERVADOR-FOFs</v>
      </c>
      <c r="B5" s="67" t="s">
        <v>31</v>
      </c>
      <c r="C5" s="67" t="s">
        <v>2</v>
      </c>
      <c r="D5" s="66">
        <v>0.1</v>
      </c>
    </row>
    <row r="6" spans="1:9" ht="15" thickBot="1" x14ac:dyDescent="0.35">
      <c r="A6" t="str">
        <f>B6&amp;"-"&amp;C6</f>
        <v>CONSERVADOR-DESENVOLVIMENTO</v>
      </c>
      <c r="B6" s="67" t="s">
        <v>31</v>
      </c>
      <c r="C6" s="67" t="s">
        <v>1</v>
      </c>
      <c r="D6" s="66">
        <v>0</v>
      </c>
    </row>
    <row r="7" spans="1:9" ht="15" thickBot="1" x14ac:dyDescent="0.35">
      <c r="A7" s="73" t="str">
        <f>B7&amp;"-"&amp;C7</f>
        <v>CONSERVADOR-HOTELARIAS</v>
      </c>
      <c r="B7" s="71" t="s">
        <v>31</v>
      </c>
      <c r="C7" s="71" t="s">
        <v>0</v>
      </c>
      <c r="D7" s="70">
        <v>0</v>
      </c>
    </row>
    <row r="8" spans="1:9" ht="15" thickBot="1" x14ac:dyDescent="0.35">
      <c r="A8" t="str">
        <f>B8&amp;"-"&amp;C8</f>
        <v>MODERADO-PAPEL</v>
      </c>
      <c r="B8" s="74" t="s">
        <v>10</v>
      </c>
      <c r="C8" s="69" t="s">
        <v>5</v>
      </c>
      <c r="D8" s="68">
        <v>0.32</v>
      </c>
    </row>
    <row r="9" spans="1:9" ht="15" thickBot="1" x14ac:dyDescent="0.35">
      <c r="A9" t="str">
        <f>B9&amp;"-"&amp;C9</f>
        <v>MODERADO-TIJOLO</v>
      </c>
      <c r="B9" s="13" t="s">
        <v>10</v>
      </c>
      <c r="C9" s="67" t="s">
        <v>4</v>
      </c>
      <c r="D9" s="66">
        <v>0.4</v>
      </c>
    </row>
    <row r="10" spans="1:9" ht="15" thickBot="1" x14ac:dyDescent="0.35">
      <c r="A10" t="str">
        <f>B10&amp;"-"&amp;C10</f>
        <v>MODERADO-HIBRIDOS</v>
      </c>
      <c r="B10" s="13" t="s">
        <v>10</v>
      </c>
      <c r="C10" s="67" t="s">
        <v>3</v>
      </c>
      <c r="D10" s="66">
        <v>0.08</v>
      </c>
    </row>
    <row r="11" spans="1:9" ht="15" thickBot="1" x14ac:dyDescent="0.35">
      <c r="A11" t="str">
        <f>B11&amp;"-"&amp;C11</f>
        <v>MODERADO-FOFs</v>
      </c>
      <c r="B11" s="13" t="s">
        <v>10</v>
      </c>
      <c r="C11" s="67" t="s">
        <v>2</v>
      </c>
      <c r="D11" s="66">
        <v>0.1</v>
      </c>
    </row>
    <row r="12" spans="1:9" ht="15" thickBot="1" x14ac:dyDescent="0.35">
      <c r="A12" t="str">
        <f>B12&amp;"-"&amp;C12</f>
        <v>MODERADO-DESENVOLVIMENTO</v>
      </c>
      <c r="B12" s="13" t="s">
        <v>10</v>
      </c>
      <c r="C12" s="67" t="s">
        <v>1</v>
      </c>
      <c r="D12" s="66">
        <v>0</v>
      </c>
    </row>
    <row r="13" spans="1:9" ht="15" thickBot="1" x14ac:dyDescent="0.35">
      <c r="A13" s="73" t="str">
        <f>B13&amp;"-"&amp;C13</f>
        <v>MODERADO-HOTELARIAS</v>
      </c>
      <c r="B13" s="72" t="s">
        <v>10</v>
      </c>
      <c r="C13" s="71" t="s">
        <v>0</v>
      </c>
      <c r="D13" s="70">
        <v>0.1</v>
      </c>
    </row>
    <row r="14" spans="1:9" ht="15" thickBot="1" x14ac:dyDescent="0.35">
      <c r="A14" t="str">
        <f>B14&amp;"-"&amp;C14</f>
        <v>AGRESSIVO-PAPEL</v>
      </c>
      <c r="B14" s="13" t="s">
        <v>30</v>
      </c>
      <c r="C14" s="69" t="s">
        <v>5</v>
      </c>
      <c r="D14" s="68">
        <v>0.5</v>
      </c>
    </row>
    <row r="15" spans="1:9" ht="15" thickBot="1" x14ac:dyDescent="0.35">
      <c r="A15" t="str">
        <f>B15&amp;"-"&amp;C15</f>
        <v>AGRESSIVO-TIJOLO</v>
      </c>
      <c r="B15" s="13" t="s">
        <v>30</v>
      </c>
      <c r="C15" s="67" t="s">
        <v>4</v>
      </c>
      <c r="D15" s="66">
        <v>0.1</v>
      </c>
    </row>
    <row r="16" spans="1:9" ht="15" thickBot="1" x14ac:dyDescent="0.35">
      <c r="A16" t="str">
        <f>B16&amp;"-"&amp;C16</f>
        <v>AGRESSIVO-HIBRIDOS</v>
      </c>
      <c r="B16" s="13" t="s">
        <v>30</v>
      </c>
      <c r="C16" s="67" t="s">
        <v>3</v>
      </c>
      <c r="D16" s="66">
        <v>0.05</v>
      </c>
    </row>
    <row r="17" spans="1:4" ht="15" thickBot="1" x14ac:dyDescent="0.35">
      <c r="A17" t="str">
        <f>B17&amp;"-"&amp;C17</f>
        <v>AGRESSIVO-FOFs</v>
      </c>
      <c r="B17" s="13" t="s">
        <v>30</v>
      </c>
      <c r="C17" s="67" t="s">
        <v>2</v>
      </c>
      <c r="D17" s="66">
        <v>0.05</v>
      </c>
    </row>
    <row r="18" spans="1:4" ht="15" thickBot="1" x14ac:dyDescent="0.35">
      <c r="A18" t="str">
        <f>B18&amp;"-"&amp;C18</f>
        <v>AGRESSIVO-DESENVOLVIMENTO</v>
      </c>
      <c r="B18" s="13" t="s">
        <v>30</v>
      </c>
      <c r="C18" s="67" t="s">
        <v>1</v>
      </c>
      <c r="D18" s="66">
        <v>0.2</v>
      </c>
    </row>
    <row r="19" spans="1:4" x14ac:dyDescent="0.3">
      <c r="A19" t="str">
        <f>B19&amp;"-"&amp;C19</f>
        <v>AGRESSIVO-HOTELARIAS</v>
      </c>
      <c r="B19" s="13" t="s">
        <v>30</v>
      </c>
      <c r="C19" s="65" t="s">
        <v>0</v>
      </c>
      <c r="D19" s="6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Controle_de_Investimentos</vt:lpstr>
      <vt:lpstr>Planilha2</vt:lpstr>
      <vt:lpstr>Aporte</vt:lpstr>
      <vt:lpstr>Patrimonio_Acumulado</vt:lpstr>
      <vt:lpstr>Qtd_Anos</vt:lpstr>
      <vt:lpstr>Rendimento_Carteira</vt:lpstr>
      <vt:lpstr>Salario</vt:lpstr>
      <vt:lpstr>Sejestao_Investimento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Carlos</dc:creator>
  <cp:lastModifiedBy>François Carlos</cp:lastModifiedBy>
  <dcterms:created xsi:type="dcterms:W3CDTF">2026-10-18T16:48:22Z</dcterms:created>
  <dcterms:modified xsi:type="dcterms:W3CDTF">2026-10-18T16:49:16Z</dcterms:modified>
</cp:coreProperties>
</file>